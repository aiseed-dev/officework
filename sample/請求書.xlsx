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請求書" sheetId="1" r:id="rId1"/>
  </sheets>
  <definedNames>
    <definedName name="_xlnm.Print_Area" localSheetId="0">'請求書'!$A$1:$F$24</definedName>
  </definedNames>
</workbook>
</file>

<file path=xl/sharedStrings.xml><?xml version="1.0" encoding="utf-8"?>
<sst xmlns="http://schemas.openxmlformats.org/spreadsheetml/2006/main" count="31" uniqueCount="31">
  <si>
    <t xml:space="preserve">御 請 求 書</t>
  </si>
  <si>
    <t xml:space="preserve">株式会社みほん商事 御中</t>
  </si>
  <si>
    <t xml:space="preserve">請求書番号</t>
  </si>
  <si>
    <t xml:space="preserve">S-2026-001</t>
  </si>
  <si>
    <t xml:space="preserve">発行日</t>
  </si>
  <si>
    <t xml:space="preserve">2026-08-25</t>
  </si>
  <si>
    <t xml:space="preserve">支払期限</t>
  </si>
  <si>
    <t xml:space="preserve">2026-09-30</t>
  </si>
  <si>
    <t xml:space="preserve">下記のとおりご請求申し上げます。</t>
  </si>
  <si>
    <t xml:space="preserve">御請求金額(税込)</t>
  </si>
  <si>
    <t xml:space="preserve">例示工務店</t>
  </si>
  <si>
    <t xml:space="preserve">見本県架空市例示町1-2-3</t>
  </si>
  <si>
    <t xml:space="preserve">012-345-6789</t>
  </si>
  <si>
    <t xml:space="preserve">No.</t>
  </si>
  <si>
    <t xml:space="preserve">品名</t>
  </si>
  <si>
    <t xml:space="preserve">数量</t>
  </si>
  <si>
    <t xml:space="preserve">単位</t>
  </si>
  <si>
    <t xml:space="preserve">単価</t>
  </si>
  <si>
    <t xml:space="preserve">金額</t>
  </si>
  <si>
    <t xml:space="preserve">外壁塗装工事</t>
  </si>
  <si>
    <t xml:space="preserve">式</t>
  </si>
  <si>
    <t xml:space="preserve">足場の設置</t>
  </si>
  <si>
    <t xml:space="preserve">㎡</t>
  </si>
  <si>
    <t xml:space="preserve">高圧洗浄</t>
  </si>
  <si>
    <t xml:space="preserve">小計</t>
  </si>
  <si>
    <t xml:space="preserve">消費税(10%)</t>
  </si>
  <si>
    <t xml:space="preserve">合計</t>
  </si>
  <si>
    <t xml:space="preserve">お振込先</t>
  </si>
  <si>
    <t xml:space="preserve">見本銀行 架空支店 普通 1234567</t>
  </si>
  <si>
    <t xml:space="preserve">口座名義 例示工務店(レイジコウムテン)</t>
  </si>
  <si>
    <t xml:space="preserve">恐れ入りますが、振込手数料は御社にてご負担ください。</t>
  </si>
</sst>
</file>

<file path=xl/styles.xml><?xml version="1.0" encoding="utf-8"?>
<styleSheet xmlns="http://schemas.openxmlformats.org/spreadsheetml/2006/main">
  <numFmts count="2">
    <numFmt numFmtId="164" formatCode="¥#,##0"/>
    <numFmt numFmtId="165" formatCode="#,##0"/>
  </numFmts>
  <fonts count="5">
    <font/>
    <font>
      <sz val="18"/>
      <b/>
    </font>
    <font>
      <sz val="12"/>
      <b/>
    </font>
    <font>
      <b/>
    </font>
    <font>
      <sz val="14"/>
      <b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164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/>
    <xf numFmtId="164" fontId="3" fillId="0" borderId="1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6" customWidth="1"/>
    <col min="2" max="2" width="34" customWidth="1"/>
    <col min="3" max="3" width="10" customWidth="1"/>
    <col min="4" max="4" width="8" customWidth="1"/>
    <col min="5" max="5" width="12" customWidth="1"/>
    <col min="6" max="6" width="14" customWidth="1"/>
  </cols>
  <sheetData>
    <row r="1" ht="32" customHeight="1">
      <c r="A1" t="s" s="1">
        <v>0</v>
      </c>
    </row>
    <row r="3">
      <c r="A3" t="s" s="2">
        <v>1</v>
      </c>
      <c r="E3" t="s">
        <v>2</v>
      </c>
      <c r="F3" t="s">
        <v>3</v>
      </c>
    </row>
    <row r="4">
      <c r="E4" t="s">
        <v>4</v>
      </c>
      <c r="F4" t="s">
        <v>5</v>
      </c>
    </row>
    <row r="5">
      <c r="E5" t="s">
        <v>6</v>
      </c>
      <c r="F5" t="s">
        <v>7</v>
      </c>
    </row>
    <row r="6">
      <c r="A6" t="s">
        <v>8</v>
      </c>
    </row>
    <row r="7">
      <c r="A7" t="s" s="3">
        <v>9</v>
      </c>
      <c r="C7" s="4">
        <f>F19</f>
        <v>640200</v>
      </c>
      <c r="E7" t="s">
        <v>10</v>
      </c>
    </row>
    <row r="8">
      <c r="E8" t="s">
        <v>11</v>
      </c>
    </row>
    <row r="9">
      <c r="E9" t="s">
        <v>12</v>
      </c>
    </row>
    <row r="11">
      <c r="A11" t="s" s="5">
        <v>13</v>
      </c>
      <c r="B11" t="s" s="5">
        <v>14</v>
      </c>
      <c r="C11" t="s" s="5">
        <v>15</v>
      </c>
      <c r="D11" t="s" s="5">
        <v>16</v>
      </c>
      <c r="E11" t="s" s="5">
        <v>17</v>
      </c>
      <c r="F11" t="s" s="5">
        <v>18</v>
      </c>
    </row>
    <row r="12">
      <c r="A12" s="6">
        <v>1</v>
      </c>
      <c r="B12" t="s" s="6">
        <v>19</v>
      </c>
      <c r="C12" s="6">
        <v>1</v>
      </c>
      <c r="D12" t="s" s="6">
        <v>20</v>
      </c>
      <c r="E12" s="7">
        <v>450000</v>
      </c>
      <c r="F12" s="7">
        <f>C12*E12</f>
        <v>450000</v>
      </c>
    </row>
    <row r="13">
      <c r="A13" s="6">
        <v>2</v>
      </c>
      <c r="B13" t="s" s="6">
        <v>21</v>
      </c>
      <c r="C13" s="6">
        <v>120</v>
      </c>
      <c r="D13" t="s" s="6">
        <v>22</v>
      </c>
      <c r="E13" s="7">
        <v>800</v>
      </c>
      <c r="F13" s="7">
        <f>C13*E13</f>
        <v>96000</v>
      </c>
    </row>
    <row r="14">
      <c r="A14" s="6">
        <v>3</v>
      </c>
      <c r="B14" t="s" s="6">
        <v>23</v>
      </c>
      <c r="C14" s="6">
        <v>120</v>
      </c>
      <c r="D14" t="s" s="6">
        <v>22</v>
      </c>
      <c r="E14" s="7">
        <v>300</v>
      </c>
      <c r="F14" s="7">
        <f>C14*E14</f>
        <v>36000</v>
      </c>
    </row>
    <row r="15">
      <c r="A15" s="6"/>
      <c r="B15" s="6"/>
      <c r="C15" s="6"/>
      <c r="D15" s="6"/>
      <c r="E15" s="7"/>
      <c r="F15" s="7"/>
    </row>
    <row r="16">
      <c r="A16" s="6"/>
      <c r="B16" s="6"/>
      <c r="C16" s="6"/>
      <c r="D16" s="6"/>
      <c r="E16" s="7"/>
      <c r="F16" s="7"/>
    </row>
    <row r="17">
      <c r="E17" t="s" s="8">
        <v>24</v>
      </c>
      <c r="F17" s="9">
        <f>SUM(F12:F16)</f>
        <v>582000</v>
      </c>
    </row>
    <row r="18">
      <c r="E18" t="s" s="8">
        <v>25</v>
      </c>
      <c r="F18" s="9">
        <f>ROUND(F17*0.1,0)</f>
        <v>58200</v>
      </c>
    </row>
    <row r="19">
      <c r="E19" t="s" s="8">
        <v>26</v>
      </c>
      <c r="F19" s="10">
        <f>F17+F18</f>
        <v>640200</v>
      </c>
    </row>
    <row r="21">
      <c r="A21" t="s" s="3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</sheetData>
  <mergeCells count="1">
    <mergeCell ref="A1:F1"/>
  </mergeCells>
  <pageSetup orientation="portrait" paperSize="9"/>
</worksheet>
</file>