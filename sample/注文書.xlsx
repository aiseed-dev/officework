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注文書" sheetId="1" r:id="rId1"/>
  </sheets>
  <definedNames>
    <definedName name="_xlnm.Print_Area" localSheetId="0">'注文書'!$A$1:$E$22</definedName>
  </definedNames>
</workbook>
</file>

<file path=xl/sharedStrings.xml><?xml version="1.0" encoding="utf-8"?>
<sst xmlns="http://schemas.openxmlformats.org/spreadsheetml/2006/main" count="90" uniqueCount="90">
  <si>
    <t xml:space="preserve">注 文 書</t>
  </si>
  <si>
    <t xml:space="preserve">品番</t>
  </si>
  <si>
    <t xml:space="preserve">品名</t>
  </si>
  <si>
    <t xml:space="preserve">単価</t>
  </si>
  <si>
    <t xml:space="preserve">例示文具株式会社 行(品番はカタログから)</t>
  </si>
  <si>
    <t xml:space="preserve">A-101</t>
  </si>
  <si>
    <t xml:space="preserve">ボールペン(黒)</t>
  </si>
  <si>
    <t xml:space="preserve">社名</t>
  </si>
  <si>
    <t xml:space="preserve">担当</t>
  </si>
  <si>
    <t xml:space="preserve">A-102</t>
  </si>
  <si>
    <t xml:space="preserve">ボールペン(赤)</t>
  </si>
  <si>
    <t xml:space="preserve">電話</t>
  </si>
  <si>
    <t xml:space="preserve">納品希望日</t>
  </si>
  <si>
    <t xml:space="preserve">A-103</t>
  </si>
  <si>
    <t xml:space="preserve">ボールペン(青)</t>
  </si>
  <si>
    <t xml:space="preserve">A-104</t>
  </si>
  <si>
    <t xml:space="preserve">シャープペン</t>
  </si>
  <si>
    <t xml:space="preserve">単価(税抜)</t>
  </si>
  <si>
    <t xml:space="preserve">数量</t>
  </si>
  <si>
    <t xml:space="preserve">金額</t>
  </si>
  <si>
    <t xml:space="preserve">A-105</t>
  </si>
  <si>
    <t xml:space="preserve">シャープ替芯</t>
  </si>
  <si>
    <t xml:space="preserve">A-106</t>
  </si>
  <si>
    <t xml:space="preserve">蛍光マーカー(黄)</t>
  </si>
  <si>
    <t xml:space="preserve">B-201</t>
  </si>
  <si>
    <t xml:space="preserve">コピー用紙A4</t>
  </si>
  <si>
    <t xml:space="preserve">A-107</t>
  </si>
  <si>
    <t xml:space="preserve">蛍光マーカー(桃)</t>
  </si>
  <si>
    <t xml:space="preserve">C-301</t>
  </si>
  <si>
    <t xml:space="preserve">クリアファイルA4</t>
  </si>
  <si>
    <t xml:space="preserve">A-108</t>
  </si>
  <si>
    <t xml:space="preserve">油性ペン(黒)</t>
  </si>
  <si>
    <t xml:space="preserve"/>
  </si>
  <si>
    <t xml:space="preserve">A-109</t>
  </si>
  <si>
    <t xml:space="preserve">鉛筆HB</t>
  </si>
  <si>
    <t xml:space="preserve">A-110</t>
  </si>
  <si>
    <t xml:space="preserve">消しゴム</t>
  </si>
  <si>
    <t xml:space="preserve">B-202</t>
  </si>
  <si>
    <t xml:space="preserve">コピー用紙B5</t>
  </si>
  <si>
    <t xml:space="preserve">B-203</t>
  </si>
  <si>
    <t xml:space="preserve">ノートA罫</t>
  </si>
  <si>
    <t xml:space="preserve">B-204</t>
  </si>
  <si>
    <t xml:space="preserve">レポート用紙A4</t>
  </si>
  <si>
    <t xml:space="preserve">B-205</t>
  </si>
  <si>
    <t xml:space="preserve">付箋 75×75mm</t>
  </si>
  <si>
    <t xml:space="preserve">小計</t>
  </si>
  <si>
    <t xml:space="preserve">B-206</t>
  </si>
  <si>
    <t xml:space="preserve">付箋 75×25mm</t>
  </si>
  <si>
    <t xml:space="preserve">消費税(10%)</t>
  </si>
  <si>
    <t xml:space="preserve">B-207</t>
  </si>
  <si>
    <t xml:space="preserve">封筒 長形3号</t>
  </si>
  <si>
    <t xml:space="preserve">合計(税込)</t>
  </si>
  <si>
    <t xml:space="preserve">B-208</t>
  </si>
  <si>
    <t xml:space="preserve">クラフト封筒 角形2号</t>
  </si>
  <si>
    <t xml:space="preserve">品番と数量を入れるだけ(品名・単価・金額は式が引く)。</t>
  </si>
  <si>
    <t xml:space="preserve">C-302</t>
  </si>
  <si>
    <t xml:space="preserve">パイプ式ファイルA4</t>
  </si>
  <si>
    <t xml:space="preserve">データ &gt; Python: @更新 net でマスタを取り直し、@送信 net で注文を送る(手続きは隣の 更新.py・送信.py を plugins へ)。</t>
  </si>
  <si>
    <t xml:space="preserve">C-303</t>
  </si>
  <si>
    <t xml:space="preserve">個別フォルダA4</t>
  </si>
  <si>
    <t xml:space="preserve">C-304</t>
  </si>
  <si>
    <t xml:space="preserve">2穴バインダーA4</t>
  </si>
  <si>
    <t xml:space="preserve">C-305</t>
  </si>
  <si>
    <t xml:space="preserve">書類トレーA4</t>
  </si>
  <si>
    <t xml:space="preserve">C-306</t>
  </si>
  <si>
    <t xml:space="preserve">マグネットバー</t>
  </si>
  <si>
    <t xml:space="preserve">D-401</t>
  </si>
  <si>
    <t xml:space="preserve">電卓</t>
  </si>
  <si>
    <t xml:space="preserve">D-402</t>
  </si>
  <si>
    <t xml:space="preserve">ホッチキス10号</t>
  </si>
  <si>
    <t xml:space="preserve">D-403</t>
  </si>
  <si>
    <t xml:space="preserve">ホッチキス針10号</t>
  </si>
  <si>
    <t xml:space="preserve">D-404</t>
  </si>
  <si>
    <t xml:space="preserve">2穴パンチ</t>
  </si>
  <si>
    <t xml:space="preserve">D-405</t>
  </si>
  <si>
    <t xml:space="preserve">テープカッター</t>
  </si>
  <si>
    <t xml:space="preserve">D-406</t>
  </si>
  <si>
    <t xml:space="preserve">はさみ</t>
  </si>
  <si>
    <t xml:space="preserve">D-407</t>
  </si>
  <si>
    <t xml:space="preserve">カッターL型</t>
  </si>
  <si>
    <t xml:space="preserve">D-408</t>
  </si>
  <si>
    <t xml:space="preserve">スティックのり</t>
  </si>
  <si>
    <t xml:space="preserve">E-501</t>
  </si>
  <si>
    <t xml:space="preserve">ガムテープ(布)</t>
  </si>
  <si>
    <t xml:space="preserve">E-502</t>
  </si>
  <si>
    <t xml:space="preserve">OPPテープ(透明)</t>
  </si>
  <si>
    <t xml:space="preserve">E-503</t>
  </si>
  <si>
    <t xml:space="preserve">緩衝材</t>
  </si>
  <si>
    <t xml:space="preserve">E-504</t>
  </si>
  <si>
    <t xml:space="preserve">宅配袋(大)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</si>
</sst>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¥#,##0"/>
  </numFmts>
  <fonts count="3">
    <font/>
    <font>
      <sz val="18"/>
      <b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Border="1"/>
    <xf numFmtId="0" fontId="2" fillId="2" borderId="1" xfId="0" applyNumberFormat="1" applyFont="1" applyFill="1" applyBorder="1"/>
    <xf numFmtId="0" fontId="0" fillId="0" borderId="1" xfId="0" applyNumberFormat="1" applyFont="1" applyFill="1" applyBorder="1"/>
    <xf numFmtId="0" fontId="2" fillId="3" borderId="1" xfId="0" applyNumberFormat="1" applyFont="1" applyFill="1" applyBorder="1" applyAlignment="1">
      <alignment horizontal="center"/>
    </xf>
    <xf numFmtId="164" fontId="0" fillId="0" borderId="1" xfId="0" applyNumberFormat="1" applyFont="1" applyFill="1" applyBorder="1"/>
    <xf numFmtId="0" fontId="0" fillId="0" borderId="1" xfId="0" applyNumberFormat="1" applyFont="1" applyFill="1" applyBorder="1" applyAlignment="1">
      <alignment horizontal="center"/>
    </xf>
    <xf numFmtId="165" fontId="0" fillId="0" borderId="1" xfId="0" applyNumberFormat="1" applyFont="1" applyFill="1" applyBorder="1"/>
    <xf numFmtId="0" fontId="2" fillId="0" borderId="1" xfId="0" applyNumberFormat="1" applyFont="1" applyFill="1" applyBorder="1" applyAlignment="1">
      <alignment horizontal="center"/>
    </xf>
    <xf numFmtId="165" fontId="2" fillId="0" borderId="1" xfId="0" applyNumberFormat="1" applyFont="1" applyFill="1" applyBorder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S" Type="http://schemas.openxmlformats.org/officeDocument/2006/relationships/sharedStrings" Target="sharedStrings.xml"/><Relationship Id="rIdST" Type="http://schemas.openxmlformats.org/officeDocument/2006/relationships/styles" Target="styles.xml"/><Relationship Id="rIdTH" Type="http://schemas.openxmlformats.org/officeDocument/2006/relationships/theme" Target="theme/theme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9" customWidth="1"/>
    <col min="2" max="2" width="24" customWidth="1"/>
    <col min="3" max="3" width="12" customWidth="1"/>
    <col min="4" max="4" width="8" customWidth="1"/>
    <col min="5" max="5" width="13" customWidth="1"/>
    <col min="6" max="7" width="3" customWidth="1"/>
    <col min="8" max="8" width="9" customWidth="1"/>
    <col min="9" max="9" width="22" customWidth="1"/>
    <col min="10" max="10" width="9" customWidth="1"/>
  </cols>
  <sheetData>
    <row r="1" ht="30" customHeight="1">
      <c r="A1" t="s" s="1">
        <v>0</v>
      </c>
      <c r="H1" t="s" s="2">
        <v>1</v>
      </c>
      <c r="I1" t="s" s="2">
        <v>2</v>
      </c>
      <c r="J1" t="s" s="2">
        <v>3</v>
      </c>
    </row>
    <row r="2">
      <c r="A2" t="s">
        <v>4</v>
      </c>
      <c r="H2" t="s">
        <v>5</v>
      </c>
      <c r="I2" t="s">
        <v>6</v>
      </c>
      <c r="J2">
        <v>150</v>
      </c>
    </row>
    <row r="3">
      <c r="A3" t="s" s="3">
        <v>7</v>
      </c>
      <c r="B3" s="4"/>
      <c r="C3" t="s" s="3">
        <v>8</v>
      </c>
      <c r="D3" s="4"/>
      <c r="H3" t="s">
        <v>9</v>
      </c>
      <c r="I3" t="s">
        <v>10</v>
      </c>
      <c r="J3">
        <v>150</v>
      </c>
    </row>
    <row r="4">
      <c r="A4" t="s" s="3">
        <v>11</v>
      </c>
      <c r="B4" s="4"/>
      <c r="C4" t="s" s="3">
        <v>12</v>
      </c>
      <c r="D4" s="4"/>
      <c r="H4" t="s">
        <v>13</v>
      </c>
      <c r="I4" t="s">
        <v>14</v>
      </c>
      <c r="J4">
        <v>150</v>
      </c>
    </row>
    <row r="5">
      <c r="H5" t="s">
        <v>15</v>
      </c>
      <c r="I5" t="s">
        <v>16</v>
      </c>
      <c r="J5">
        <v>220</v>
      </c>
    </row>
    <row r="6">
      <c r="A6" t="s" s="5">
        <v>1</v>
      </c>
      <c r="B6" t="s" s="5">
        <v>2</v>
      </c>
      <c r="C6" t="s" s="5">
        <v>17</v>
      </c>
      <c r="D6" t="s" s="5">
        <v>18</v>
      </c>
      <c r="E6" t="s" s="5">
        <v>19</v>
      </c>
      <c r="H6" t="s">
        <v>20</v>
      </c>
      <c r="I6" t="s">
        <v>21</v>
      </c>
      <c r="J6">
        <v>120</v>
      </c>
    </row>
    <row r="7">
      <c r="A7" t="s" s="4">
        <v>5</v>
      </c>
      <c r="B7" t="s" s="4">
        <f>IF(ISBLANK($A7),"",VLOOKUP($A7,$H$2:$J$40,2))</f>
        <v>6</v>
      </c>
      <c r="C7" s="6">
        <f>IF(ISBLANK($A7),"",VLOOKUP($A7,$H$2:$J$40,3))</f>
        <v>150</v>
      </c>
      <c r="D7" s="4">
        <v>10</v>
      </c>
      <c r="E7" s="6">
        <f>IF(ISBLANK($A7),"",C7*D7)</f>
        <v>1500</v>
      </c>
      <c r="H7" t="s">
        <v>22</v>
      </c>
      <c r="I7" t="s">
        <v>23</v>
      </c>
      <c r="J7">
        <v>130</v>
      </c>
    </row>
    <row r="8">
      <c r="A8" t="s" s="4">
        <v>24</v>
      </c>
      <c r="B8" t="s" s="4">
        <f>IF(ISBLANK($A8),"",VLOOKUP($A8,$H$2:$J$40,2))</f>
        <v>25</v>
      </c>
      <c r="C8" s="6">
        <f>IF(ISBLANK($A8),"",VLOOKUP($A8,$H$2:$J$40,3))</f>
        <v>550</v>
      </c>
      <c r="D8" s="4">
        <v>5</v>
      </c>
      <c r="E8" s="6">
        <f>IF(ISBLANK($A8),"",C8*D8)</f>
        <v>2750</v>
      </c>
      <c r="H8" t="s">
        <v>26</v>
      </c>
      <c r="I8" t="s">
        <v>27</v>
      </c>
      <c r="J8">
        <v>130</v>
      </c>
    </row>
    <row r="9">
      <c r="A9" t="s" s="4">
        <v>28</v>
      </c>
      <c r="B9" t="s" s="4">
        <f>IF(ISBLANK($A9),"",VLOOKUP($A9,$H$2:$J$40,2))</f>
        <v>29</v>
      </c>
      <c r="C9" s="6">
        <f>IF(ISBLANK($A9),"",VLOOKUP($A9,$H$2:$J$40,3))</f>
        <v>240</v>
      </c>
      <c r="D9" s="4">
        <v>3</v>
      </c>
      <c r="E9" s="6">
        <f>IF(ISBLANK($A9),"",C9*D9)</f>
        <v>720</v>
      </c>
      <c r="H9" t="s">
        <v>30</v>
      </c>
      <c r="I9" t="s">
        <v>31</v>
      </c>
      <c r="J9">
        <v>160</v>
      </c>
    </row>
    <row r="10">
      <c r="A10" s="4"/>
      <c r="B10" t="s" s="4">
        <f>IF(ISBLANK($A10),"",VLOOKUP($A10,$H$2:$J$40,2))</f>
        <v>32</v>
      </c>
      <c r="C10" t="s" s="6">
        <f>IF(ISBLANK($A10),"",VLOOKUP($A10,$H$2:$J$40,3))</f>
        <v>32</v>
      </c>
      <c r="D10" s="4"/>
      <c r="E10" t="s" s="6">
        <f>IF(ISBLANK($A10),"",C10*D10)</f>
        <v>32</v>
      </c>
      <c r="H10" t="s">
        <v>33</v>
      </c>
      <c r="I10" t="s">
        <v>34</v>
      </c>
      <c r="J10">
        <v>480</v>
      </c>
    </row>
    <row r="11">
      <c r="A11" s="4"/>
      <c r="B11" t="s" s="4">
        <f>IF(ISBLANK($A11),"",VLOOKUP($A11,$H$2:$J$40,2))</f>
        <v>32</v>
      </c>
      <c r="C11" t="s" s="6">
        <f>IF(ISBLANK($A11),"",VLOOKUP($A11,$H$2:$J$40,3))</f>
        <v>32</v>
      </c>
      <c r="D11" s="4"/>
      <c r="E11" t="s" s="6">
        <f>IF(ISBLANK($A11),"",C11*D11)</f>
        <v>32</v>
      </c>
      <c r="H11" t="s">
        <v>35</v>
      </c>
      <c r="I11" t="s">
        <v>36</v>
      </c>
      <c r="J11">
        <v>90</v>
      </c>
    </row>
    <row r="12">
      <c r="A12" s="4"/>
      <c r="B12" t="s" s="4">
        <f>IF(ISBLANK($A12),"",VLOOKUP($A12,$H$2:$J$40,2))</f>
        <v>32</v>
      </c>
      <c r="C12" t="s" s="6">
        <f>IF(ISBLANK($A12),"",VLOOKUP($A12,$H$2:$J$40,3))</f>
        <v>32</v>
      </c>
      <c r="D12" s="4"/>
      <c r="E12" t="s" s="6">
        <f>IF(ISBLANK($A12),"",C12*D12)</f>
        <v>32</v>
      </c>
      <c r="H12" t="s">
        <v>24</v>
      </c>
      <c r="I12" t="s">
        <v>25</v>
      </c>
      <c r="J12">
        <v>550</v>
      </c>
    </row>
    <row r="13">
      <c r="A13" s="4"/>
      <c r="B13" t="s" s="4">
        <f>IF(ISBLANK($A13),"",VLOOKUP($A13,$H$2:$J$40,2))</f>
        <v>32</v>
      </c>
      <c r="C13" t="s" s="6">
        <f>IF(ISBLANK($A13),"",VLOOKUP($A13,$H$2:$J$40,3))</f>
        <v>32</v>
      </c>
      <c r="D13" s="4"/>
      <c r="E13" t="s" s="6">
        <f>IF(ISBLANK($A13),"",C13*D13)</f>
        <v>32</v>
      </c>
      <c r="H13" t="s">
        <v>37</v>
      </c>
      <c r="I13" t="s">
        <v>38</v>
      </c>
      <c r="J13">
        <v>520</v>
      </c>
    </row>
    <row r="14">
      <c r="A14" s="4"/>
      <c r="B14" t="s" s="4">
        <f>IF(ISBLANK($A14),"",VLOOKUP($A14,$H$2:$J$40,2))</f>
        <v>32</v>
      </c>
      <c r="C14" t="s" s="6">
        <f>IF(ISBLANK($A14),"",VLOOKUP($A14,$H$2:$J$40,3))</f>
        <v>32</v>
      </c>
      <c r="D14" s="4"/>
      <c r="E14" t="s" s="6">
        <f>IF(ISBLANK($A14),"",C14*D14)</f>
        <v>32</v>
      </c>
      <c r="H14" t="s">
        <v>39</v>
      </c>
      <c r="I14" t="s">
        <v>40</v>
      </c>
      <c r="J14">
        <v>180</v>
      </c>
    </row>
    <row r="15">
      <c r="A15" s="4"/>
      <c r="B15" t="s" s="4">
        <f>IF(ISBLANK($A15),"",VLOOKUP($A15,$H$2:$J$40,2))</f>
        <v>32</v>
      </c>
      <c r="C15" t="s" s="6">
        <f>IF(ISBLANK($A15),"",VLOOKUP($A15,$H$2:$J$40,3))</f>
        <v>32</v>
      </c>
      <c r="D15" s="4"/>
      <c r="E15" t="s" s="6">
        <f>IF(ISBLANK($A15),"",C15*D15)</f>
        <v>32</v>
      </c>
      <c r="H15" t="s">
        <v>41</v>
      </c>
      <c r="I15" t="s">
        <v>42</v>
      </c>
      <c r="J15">
        <v>250</v>
      </c>
    </row>
    <row r="16">
      <c r="A16" s="4"/>
      <c r="B16" t="s" s="4">
        <f>IF(ISBLANK($A16),"",VLOOKUP($A16,$H$2:$J$40,2))</f>
        <v>32</v>
      </c>
      <c r="C16" t="s" s="6">
        <f>IF(ISBLANK($A16),"",VLOOKUP($A16,$H$2:$J$40,3))</f>
        <v>32</v>
      </c>
      <c r="D16" s="4"/>
      <c r="E16" t="s" s="6">
        <f>IF(ISBLANK($A16),"",C16*D16)</f>
        <v>32</v>
      </c>
      <c r="H16" t="s">
        <v>43</v>
      </c>
      <c r="I16" t="s">
        <v>44</v>
      </c>
      <c r="J16">
        <v>210</v>
      </c>
    </row>
    <row r="17">
      <c r="D17" t="s" s="7">
        <v>45</v>
      </c>
      <c r="E17" s="8">
        <f>SUM(E7:E16)</f>
        <v>4970</v>
      </c>
      <c r="H17" t="s">
        <v>46</v>
      </c>
      <c r="I17" t="s">
        <v>47</v>
      </c>
      <c r="J17">
        <v>260</v>
      </c>
    </row>
    <row r="18">
      <c r="D18" t="s" s="7">
        <v>48</v>
      </c>
      <c r="E18" s="8">
        <f>ROUND(E17*0.1,0)</f>
        <v>497</v>
      </c>
      <c r="H18" t="s">
        <v>49</v>
      </c>
      <c r="I18" t="s">
        <v>50</v>
      </c>
      <c r="J18">
        <v>680</v>
      </c>
    </row>
    <row r="19">
      <c r="D19" t="s" s="9">
        <v>51</v>
      </c>
      <c r="E19" s="10">
        <f>E17+E18</f>
        <v>5467</v>
      </c>
      <c r="H19" t="s">
        <v>52</v>
      </c>
      <c r="I19" t="s">
        <v>53</v>
      </c>
      <c r="J19">
        <v>750</v>
      </c>
    </row>
    <row r="20">
      <c r="H20" t="s">
        <v>28</v>
      </c>
      <c r="I20" t="s">
        <v>29</v>
      </c>
      <c r="J20">
        <v>240</v>
      </c>
    </row>
    <row r="21">
      <c r="A21" t="s">
        <v>54</v>
      </c>
      <c r="H21" t="s">
        <v>55</v>
      </c>
      <c r="I21" t="s">
        <v>56</v>
      </c>
      <c r="J21">
        <v>780</v>
      </c>
    </row>
    <row r="22">
      <c r="A22" t="s">
        <v>57</v>
      </c>
      <c r="H22" t="s">
        <v>58</v>
      </c>
      <c r="I22" t="s">
        <v>59</v>
      </c>
      <c r="J22">
        <v>620</v>
      </c>
    </row>
    <row r="23">
      <c r="H23" t="s">
        <v>60</v>
      </c>
      <c r="I23" t="s">
        <v>61</v>
      </c>
      <c r="J23">
        <v>450</v>
      </c>
    </row>
    <row r="24">
      <c r="H24" t="s">
        <v>62</v>
      </c>
      <c r="I24" t="s">
        <v>63</v>
      </c>
      <c r="J24">
        <v>520</v>
      </c>
    </row>
    <row r="25">
      <c r="H25" t="s">
        <v>64</v>
      </c>
      <c r="I25" t="s">
        <v>65</v>
      </c>
      <c r="J25">
        <v>330</v>
      </c>
    </row>
    <row r="26">
      <c r="H26" t="s">
        <v>66</v>
      </c>
      <c r="I26" t="s">
        <v>67</v>
      </c>
      <c r="J26">
        <v>1480</v>
      </c>
    </row>
    <row r="27">
      <c r="H27" t="s">
        <v>68</v>
      </c>
      <c r="I27" t="s">
        <v>69</v>
      </c>
      <c r="J27">
        <v>620</v>
      </c>
    </row>
    <row r="28">
      <c r="H28" t="s">
        <v>70</v>
      </c>
      <c r="I28" t="s">
        <v>71</v>
      </c>
      <c r="J28">
        <v>110</v>
      </c>
    </row>
    <row r="29">
      <c r="H29" t="s">
        <v>72</v>
      </c>
      <c r="I29" t="s">
        <v>73</v>
      </c>
      <c r="J29">
        <v>830</v>
      </c>
    </row>
    <row r="30">
      <c r="H30" t="s">
        <v>74</v>
      </c>
      <c r="I30" t="s">
        <v>75</v>
      </c>
      <c r="J30">
        <v>690</v>
      </c>
    </row>
    <row r="31">
      <c r="H31" t="s">
        <v>76</v>
      </c>
      <c r="I31" t="s">
        <v>77</v>
      </c>
      <c r="J31">
        <v>420</v>
      </c>
    </row>
    <row r="32">
      <c r="H32" t="s">
        <v>78</v>
      </c>
      <c r="I32" t="s">
        <v>79</v>
      </c>
      <c r="J32">
        <v>380</v>
      </c>
    </row>
    <row r="33">
      <c r="H33" t="s">
        <v>80</v>
      </c>
      <c r="I33" t="s">
        <v>81</v>
      </c>
      <c r="J33">
        <v>140</v>
      </c>
    </row>
    <row r="34">
      <c r="H34" t="s">
        <v>82</v>
      </c>
      <c r="I34" t="s">
        <v>83</v>
      </c>
      <c r="J34">
        <v>280</v>
      </c>
    </row>
    <row r="35">
      <c r="H35" t="s">
        <v>84</v>
      </c>
      <c r="I35" t="s">
        <v>85</v>
      </c>
      <c r="J35">
        <v>190</v>
      </c>
    </row>
    <row r="36">
      <c r="H36" t="s">
        <v>86</v>
      </c>
      <c r="I36" t="s">
        <v>87</v>
      </c>
      <c r="J36">
        <v>640</v>
      </c>
    </row>
    <row r="37">
      <c r="H37" t="s">
        <v>88</v>
      </c>
      <c r="I37" t="s">
        <v>89</v>
      </c>
      <c r="J37">
        <v>520</v>
      </c>
    </row>
  </sheetData>
  <mergeCells count="1">
    <mergeCell ref="A1:E1"/>
  </mergeCells>
  <dataValidations count="1">
    <dataValidation type="list" allowBlank="1" showInputMessage="1" showErrorMessage="1" sqref="A7:A16">
      <formula1>$H$2:$H$40</formula1>
    </dataValidation>
  </dataValidations>
  <pageSetup orientation="portrait" paperSize="9"/>
</worksheet>
</file>